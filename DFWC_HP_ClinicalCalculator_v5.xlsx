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0.000000000000"/>
    <numFmt numFmtId="167" formatCode="0.000000"/>
  </numFmts>
  <fonts count="24">
    <font>
      <name val="Calibri"/>
      <family val="2"/>
      <color theme="1"/>
      <sz val="11"/>
      <scheme val="minor"/>
    </font>
    <font>
      <name val="Arial"/>
      <b val="1"/>
      <color rgb="00243772"/>
      <sz val="20"/>
    </font>
    <font>
      <name val="Arial"/>
      <i val="1"/>
      <color rgb="005A6472"/>
      <sz val="12"/>
    </font>
    <font>
      <name val="Arial"/>
      <color rgb="007A828F"/>
      <sz val="9"/>
    </font>
    <font>
      <name val="Arial"/>
      <b val="1"/>
      <color rgb="00FFFFFF"/>
      <sz val="12"/>
    </font>
    <font>
      <name val="Arial"/>
      <b val="1"/>
      <color rgb="00243772"/>
      <sz val="11"/>
    </font>
    <font>
      <name val="Arial"/>
      <color rgb="001B2A4A"/>
      <sz val="11"/>
    </font>
    <font>
      <name val="Arial"/>
      <b val="1"/>
      <color rgb="001B2A4A"/>
      <sz val="12"/>
    </font>
    <font>
      <name val="Arial"/>
      <color rgb="005A6472"/>
      <sz val="10"/>
    </font>
    <font>
      <name val="Arial"/>
      <color rgb="003C4552"/>
      <sz val="10"/>
    </font>
    <font>
      <name val="Arial"/>
      <b val="1"/>
      <color rgb="008A4B00"/>
      <sz val="10"/>
    </font>
    <font>
      <name val="Arial"/>
      <b val="1"/>
      <color rgb="001B2A4A"/>
      <sz val="13"/>
    </font>
    <font>
      <name val="Arial"/>
      <b val="1"/>
      <color rgb="001F6B34"/>
      <sz val="26"/>
    </font>
    <font>
      <name val="Arial"/>
      <i val="1"/>
      <color rgb="003C4552"/>
      <sz val="10"/>
    </font>
    <font>
      <name val="Arial"/>
      <color rgb="001B2A4A"/>
      <sz val="10"/>
    </font>
    <font>
      <name val="Arial"/>
      <color rgb="005A6472"/>
      <sz val="9"/>
    </font>
    <font>
      <name val="Arial"/>
      <i val="1"/>
      <color rgb="007A828F"/>
      <sz val="9"/>
    </font>
    <font>
      <name val="Arial"/>
      <b val="1"/>
      <color rgb="00243772"/>
      <sz val="16"/>
    </font>
    <font>
      <name val="Arial"/>
      <i val="1"/>
      <color rgb="009C3A15"/>
      <sz val="10"/>
    </font>
    <font>
      <name val="Arial"/>
      <b val="1"/>
      <color rgb="001B2A4A"/>
      <sz val="11"/>
    </font>
    <font>
      <name val="Arial"/>
      <b val="1"/>
      <color rgb="00243772"/>
      <sz val="13"/>
    </font>
    <font>
      <name val="Arial"/>
      <b val="1"/>
      <color rgb="001B2A4A"/>
      <sz val="10"/>
    </font>
    <font>
      <name val="Arial"/>
      <i val="1"/>
      <color rgb="005A6472"/>
      <sz val="10"/>
    </font>
    <font>
      <name val="Arial"/>
      <b val="1"/>
      <color rgb="00243772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7BFCC"/>
      </left>
      <right style="thin">
        <color rgb="00B7BFCC"/>
      </right>
      <top style="thin">
        <color rgb="00B7BFCC"/>
      </top>
      <bottom style="thin">
        <color rgb="00B7BFCC"/>
      </bottom>
    </border>
    <border>
      <left/>
      <right/>
      <top style="thin">
        <color rgb="00B7BFCC"/>
      </top>
      <bottom/>
      <diagonal/>
    </border>
    <border>
      <left/>
      <right style="thin">
        <color rgb="00B7BFCC"/>
      </right>
      <top style="thin">
        <color rgb="00B7BFCC"/>
      </top>
      <bottom/>
      <diagonal/>
    </border>
    <border>
      <left/>
      <right style="thin">
        <color rgb="00B7BFCC"/>
      </right>
      <top style="thin">
        <color rgb="00B7BFCC"/>
      </top>
      <bottom style="thin">
        <color rgb="00B7BFC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164" fontId="12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8" fillId="0" borderId="1" pivotButton="0" quotePrefix="0" xfId="0"/>
    <xf numFmtId="166" fontId="19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center"/>
    </xf>
    <xf numFmtId="0" fontId="23" fillId="3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9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Arial"/>
        <b val="1"/>
        <color rgb="001F6B34"/>
        <sz val="26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009C3A15"/>
        <sz val="26"/>
      </font>
      <fill>
        <patternFill patternType="solid">
          <fgColor rgb="FFFCE4D6"/>
          <bgColor rgb="FFFCE4D6"/>
        </patternFill>
      </fill>
    </dxf>
    <dxf>
      <font>
        <name val="Arial"/>
        <b val="1"/>
        <color rgb="001F6B34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009C3A15"/>
      </font>
      <fill>
        <patternFill patternType="solid">
          <fgColor rgb="FFFCE4D6"/>
          <bgColor rgb="FFFCE4D6"/>
        </patternFill>
      </fill>
    </dxf>
    <dxf>
      <font>
        <name val="Arial"/>
        <b val="1"/>
        <color rgb="00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tabSelected="1" workbookViewId="0">
      <selection activeCell="B7" sqref="B7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62" customWidth="1" min="4" max="4"/>
  </cols>
  <sheetData>
    <row r="1" ht="30" customHeight="1">
      <c r="A1" s="1" t="inlineStr">
        <is>
          <t>DFWC Wound Healing Prediction Calculator</t>
        </is>
      </c>
    </row>
    <row r="2">
      <c r="A2" s="2" t="inlineStr">
        <is>
          <t>Estimates the probability that a diabetic foot ulcer will heal.</t>
        </is>
      </c>
    </row>
    <row r="3">
      <c r="A3" s="3" t="inlineStr">
        <is>
          <t>Johns Hopkins Diabetic Foot &amp; Wound Center  |  7-feature logistic regression, Platt-recalibrated  |  model locked 14 Jul 2026  |  IRB IR00076176</t>
        </is>
      </c>
    </row>
    <row r="4"/>
    <row r="5" ht="24" customHeight="1">
      <c r="A5" s="4" t="inlineStr">
        <is>
          <t>STEP 1     Enter this patient's values in the yellow cells</t>
        </is>
      </c>
    </row>
    <row r="6" ht="20" customHeight="1">
      <c r="A6" s="5" t="inlineStr">
        <is>
          <t>Input</t>
        </is>
      </c>
      <c r="B6" s="5" t="inlineStr">
        <is>
          <t>Your value</t>
        </is>
      </c>
      <c r="C6" s="5" t="inlineStr">
        <is>
          <t>Allowed range</t>
        </is>
      </c>
      <c r="D6" s="5" t="inlineStr">
        <is>
          <t>What to enter</t>
        </is>
      </c>
    </row>
    <row r="7" ht="28" customHeight="1">
      <c r="A7" s="6" t="inlineStr">
        <is>
          <t>Wound number for this patient</t>
        </is>
      </c>
      <c r="B7" s="7" t="n"/>
      <c r="C7" s="8" t="inlineStr">
        <is>
          <t>1 to 25</t>
        </is>
      </c>
      <c r="D7" s="9" t="inlineStr">
        <is>
          <t>Is this the patient's 1st wound, 2nd, 3rd...? Whole number, 1 or more.</t>
        </is>
      </c>
    </row>
    <row r="8" ht="28" customHeight="1">
      <c r="A8" s="6" t="inlineStr">
        <is>
          <t>Total wounds this patient has</t>
        </is>
      </c>
      <c r="B8" s="7" t="n"/>
      <c r="C8" s="8" t="inlineStr">
        <is>
          <t>1 to 25</t>
        </is>
      </c>
      <c r="D8" s="9" t="inlineStr">
        <is>
          <t>Total wounds recorded for this patient. Must be at least the wound number above.</t>
        </is>
      </c>
    </row>
    <row r="9" ht="28" customHeight="1">
      <c r="A9" s="6" t="inlineStr">
        <is>
          <t>WIfI wound score (W)</t>
        </is>
      </c>
      <c r="B9" s="7" t="n"/>
      <c r="C9" s="8" t="inlineStr">
        <is>
          <t>0 to 3</t>
        </is>
      </c>
      <c r="D9" s="9" t="inlineStr">
        <is>
          <t>SVS WIfI wound grade: 0 = none, 1 = mild, 2 = moderate, 3 = severe.</t>
        </is>
      </c>
    </row>
    <row r="10" ht="28" customHeight="1">
      <c r="A10" s="6" t="inlineStr">
        <is>
          <t>Toe location</t>
        </is>
      </c>
      <c r="B10" s="7" t="n"/>
      <c r="C10" s="8" t="inlineStr">
        <is>
          <t>0 to 1</t>
        </is>
      </c>
      <c r="D10" s="9" t="inlineStr">
        <is>
          <t>1 = the wound is on a toe, 0 = any other location.</t>
        </is>
      </c>
    </row>
    <row r="11" ht="28" customHeight="1">
      <c r="A11" s="6" t="inlineStr">
        <is>
          <t>Wound depth (cm)</t>
        </is>
      </c>
      <c r="B11" s="7" t="n"/>
      <c r="C11" s="8" t="inlineStr">
        <is>
          <t>0 to 10 (decimals ok)</t>
        </is>
      </c>
      <c r="D11" s="9" t="inlineStr">
        <is>
          <t>Depth in centimetres. Decimals are fine. 99% of cohort wounds were 3 cm or less.</t>
        </is>
      </c>
    </row>
    <row r="12" ht="28" customHeight="1">
      <c r="A12" s="6" t="inlineStr">
        <is>
          <t>University of Texas stage</t>
        </is>
      </c>
      <c r="B12" s="7" t="n"/>
      <c r="C12" s="8" t="inlineStr">
        <is>
          <t>0 to 4</t>
        </is>
      </c>
      <c r="D12" s="9" t="inlineStr">
        <is>
          <t>University of Texas wound classification stage, 0 to 4.</t>
        </is>
      </c>
    </row>
    <row r="13" ht="28" customHeight="1">
      <c r="A13" s="6" t="inlineStr">
        <is>
          <t>Aspirin</t>
        </is>
      </c>
      <c r="B13" s="7" t="n"/>
      <c r="C13" s="8" t="inlineStr">
        <is>
          <t>0 to 1</t>
        </is>
      </c>
      <c r="D13" s="9" t="inlineStr">
        <is>
          <t>1 = the patient is on aspirin, 0 = not.</t>
        </is>
      </c>
    </row>
    <row r="14" ht="32" customHeight="1">
      <c r="A14" s="10">
        <f>IF(COUNT(B7:B13)&lt;7,"Enter all seven values above to see a prediction.",IF(TRIM(IF(B7&gt;B8,"CHECK: wound number ("&amp;B7&amp;") is larger than this patient's total wounds ("&amp;B8&amp;"). ","")&amp;IF(B11&gt;3,"NOTE: a depth of "&amp;B11&amp;" cm is beyond 99% of the cohort. ","")&amp;IF(OR(B7&gt;13,B8&gt;21),"NOTE: wound counts this high are rare in the cohort. ",""))="","All seven values entered and within range.",TRIM(IF(B7&gt;B8,"CHECK: wound number ("&amp;B7&amp;") is larger than this patient's total wounds ("&amp;B8&amp;"). ","")&amp;IF(B11&gt;3,"NOTE: a depth of "&amp;B11&amp;" cm is beyond 99% of the cohort. ","")&amp;IF(OR(B7&gt;13,B8&gt;21),"NOTE: wound counts this high are rare in the cohort. ",""))&amp;" Treat the estimate with caution."))</f>
        <v/>
      </c>
    </row>
    <row r="15"/>
    <row r="16" ht="24" customHeight="1">
      <c r="A16" s="4" t="inlineStr">
        <is>
          <t>STEP 2     Result</t>
        </is>
      </c>
    </row>
    <row r="17" ht="40" customHeight="1">
      <c r="A17" s="11" t="inlineStr">
        <is>
          <t>Probability this wound heals</t>
        </is>
      </c>
      <c r="B17" s="12">
        <f>IF(COUNT(B7:B13)=7,1/(1+EXP(-(Model!$C$14+Model!$C$15*(Model!$C$5*B7+Model!$C$6*B8+Model!$C$7*B9+Model!$C$8*B10+Model!$C$9*B11+Model!$C$10*B12+Model!$C$11*B13+Model!$C$12)))),"")</f>
        <v/>
      </c>
      <c r="C17" s="13" t="n"/>
    </row>
    <row r="18">
      <c r="A18" s="14" t="inlineStr">
        <is>
          <t>Classification (cut-point 71%)</t>
        </is>
      </c>
      <c r="B18" s="15">
        <f>IF(COUNT(B7:B13)=7,IF(B17&gt;=Model!$C$17,"HEALED","NOT HEALED"),"")</f>
        <v/>
      </c>
      <c r="C18" s="13" t="n"/>
    </row>
    <row r="19" ht="44" customHeight="1">
      <c r="A19" s="16">
        <f>IF(COUNT(B7:B13)=7,"Predicted healing probability "&amp;TEXT(B17,"0%")&amp;". The "&amp;TEXT(Model!$C$17,"0%")&amp;" cut-point is the Youden-optimal operating point from the held-out test set, not a 50/50 line, so a wound between 50% and "&amp;TEXT(Model!$C$17,"0%")&amp;" still classifies as NOT HEALED. Test AUC 0.68: use this alongside clinical judgement, not instead of it.","")</f>
        <v/>
      </c>
    </row>
    <row r="20"/>
    <row r="21" ht="24" customHeight="1">
      <c r="A21" s="4" t="inlineStr">
        <is>
          <t>How the number is computed</t>
        </is>
      </c>
    </row>
    <row r="22">
      <c r="A22" s="17" t="inlineStr">
        <is>
          <t>Raw log-odds</t>
        </is>
      </c>
      <c r="B22" s="18">
        <f>IF(COUNT(B7:B13)=7,(Model!$C$5*B7+Model!$C$6*B8+Model!$C$7*B9+Model!$C$8*B10+Model!$C$9*B11+Model!$C$10*B12+Model!$C$11*B13+Model!$C$12),"")</f>
        <v/>
      </c>
      <c r="D22" s="3" t="inlineStr">
        <is>
          <t>Intercept + the sum of each value times its coefficient</t>
        </is>
      </c>
    </row>
    <row r="23">
      <c r="A23" s="17" t="inlineStr">
        <is>
          <t>Recalibrated log-odds</t>
        </is>
      </c>
      <c r="B23" s="18">
        <f>IF(COUNT(B7:B13)=7,Model!$C$14+Model!$C$15*B22,"")</f>
        <v/>
      </c>
      <c r="D23" s="3" t="inlineStr">
        <is>
          <t>Platt recalibration: b0 + b1 x raw log-odds</t>
        </is>
      </c>
    </row>
    <row r="24">
      <c r="A24" s="17" t="inlineStr">
        <is>
          <t>Probability</t>
        </is>
      </c>
      <c r="B24" s="19">
        <f>IF(COUNT(B7:B13)=7,1/(1+EXP(-B23)),"")</f>
        <v/>
      </c>
      <c r="D24" s="3" t="inlineStr">
        <is>
          <t>1 / (1 + EXP(-recalibrated log-odds))</t>
        </is>
      </c>
    </row>
    <row r="25">
      <c r="A25" s="20" t="inlineStr">
        <is>
          <t>Worked example: wound 3 of 4 for this patient, W score 2, on a toe, 0.1 cm deep, UT stage 4, not on aspirin  -&gt;  60.0% (classified NOT HEALED).</t>
        </is>
      </c>
    </row>
    <row r="26" ht="58" customHeight="1">
      <c r="A26" s="21" t="inlineStr">
        <is>
          <t>Research tool. Developed and internally validated on 1,255 diabetic foot ulcers from 422 patients at a single centre, 2012-2025. Not externally validated and not a substitute for clinical judgement. Coefficients and performance figures are on the Model sheet; the Validation sheet re-checks the arithmetic against ten held-out wounds.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12">
    <mergeCell ref="A1:D1"/>
    <mergeCell ref="A5:D5"/>
    <mergeCell ref="A3:D3"/>
    <mergeCell ref="A21:D21"/>
    <mergeCell ref="A26:D26"/>
    <mergeCell ref="A25:D25"/>
    <mergeCell ref="A2:D2"/>
    <mergeCell ref="A16:D16"/>
    <mergeCell ref="B18:C18"/>
    <mergeCell ref="A19:D19"/>
    <mergeCell ref="B17:C17"/>
    <mergeCell ref="A14:D14"/>
  </mergeCells>
  <conditionalFormatting sqref="B17">
    <cfRule type="cellIs" priority="1" operator="greaterThanOrEqual" dxfId="0">
      <formula>0.71</formula>
    </cfRule>
    <cfRule type="cellIs" priority="2" operator="lessThan" dxfId="1">
      <formula>0.71</formula>
    </cfRule>
  </conditionalFormatting>
  <conditionalFormatting sqref="B18">
    <cfRule type="cellIs" priority="3" operator="equal" dxfId="2">
      <formula>"HEALED"</formula>
    </cfRule>
    <cfRule type="cellIs" priority="4" operator="equal" dxfId="3">
      <formula>"NOT HEALED"</formula>
    </cfRule>
  </conditionalFormatting>
  <dataValidations count="7">
    <dataValidation sqref="B7" showDropDown="0" showInputMessage="1" showErrorMessage="1" allowBlank="1" errorTitle="Value out of range" error="Wound number for this patient must be between 1 and 25." promptTitle="Wound number for this patient" prompt="Is this the patient's 1st wound, 2nd, 3rd...? Whole number, 1 or more." type="whole" operator="between">
      <formula1>1</formula1>
      <formula2>25</formula2>
    </dataValidation>
    <dataValidation sqref="B8" showDropDown="0" showInputMessage="1" showErrorMessage="1" allowBlank="1" errorTitle="Value out of range" error="Total wounds this patient has must be between 1 and 25." promptTitle="Total wounds this patient has" prompt="Total wounds recorded for this patient. Must be at least the wound number above." type="whole" operator="between">
      <formula1>1</formula1>
      <formula2>25</formula2>
    </dataValidation>
    <dataValidation sqref="B9" showDropDown="0" showInputMessage="1" showErrorMessage="1" allowBlank="1" errorTitle="Value out of range" error="WIfI wound score (W) must be between 0 and 3." promptTitle="WIfI wound score (W)" prompt="SVS WIfI wound grade: 0 = none, 1 = mild, 2 = moderate, 3 = severe." type="whole" operator="between">
      <formula1>0</formula1>
      <formula2>3</formula2>
    </dataValidation>
    <dataValidation sqref="B10" showDropDown="0" showInputMessage="1" showErrorMessage="1" allowBlank="1" errorTitle="Value out of range" error="Toe location must be between 0 and 1." promptTitle="Toe location" prompt="1 = the wound is on a toe, 0 = any other location." type="whole" operator="between">
      <formula1>0</formula1>
      <formula2>1</formula2>
    </dataValidation>
    <dataValidation sqref="B11" showDropDown="0" showInputMessage="1" showErrorMessage="1" allowBlank="1" errorTitle="Value out of range" error="Wound depth (cm) must be between 0 and 10." promptTitle="Wound depth (cm)" prompt="Depth in centimetres. Decimals are fine. 99% of cohort wounds were 3 cm or less." type="decimal" operator="between">
      <formula1>0</formula1>
      <formula2>10</formula2>
    </dataValidation>
    <dataValidation sqref="B12" showDropDown="0" showInputMessage="1" showErrorMessage="1" allowBlank="1" errorTitle="Value out of range" error="University of Texas stage must be between 0 and 4." promptTitle="University of Texas stage" prompt="University of Texas wound classification stage, 0 to 4." type="whole" operator="between">
      <formula1>0</formula1>
      <formula2>4</formula2>
    </dataValidation>
    <dataValidation sqref="B13" showDropDown="0" showInputMessage="1" showErrorMessage="1" allowBlank="1" errorTitle="Value out of range" error="Aspirin must be between 0 and 1." promptTitle="Aspirin" prompt="1 = the patient is on aspirin, 0 = not." type="whole" operator="between">
      <formula1>0</formula1>
      <formula2>1</formula2>
    </dataValidation>
  </dataValidation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tabSelected="0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2" customWidth="1" min="3" max="3"/>
    <col width="24" customWidth="1" min="4" max="4"/>
    <col width="14" customWidth="1" min="5" max="5"/>
  </cols>
  <sheetData>
    <row r="1">
      <c r="A1" s="22" t="inlineStr">
        <is>
          <t>Locked model constants and performance</t>
        </is>
      </c>
    </row>
    <row r="2">
      <c r="A2" s="23" t="inlineStr">
        <is>
          <t>Do not edit. The Calculator sheet reads column C directly.</t>
        </is>
      </c>
    </row>
    <row r="3"/>
    <row r="4">
      <c r="A4" s="5" t="inlineStr">
        <is>
          <t>Feature</t>
        </is>
      </c>
      <c r="B4" s="5" t="inlineStr">
        <is>
          <t>Variable</t>
        </is>
      </c>
      <c r="C4" s="5" t="inlineStr">
        <is>
          <t>Coefficient (per unit)</t>
        </is>
      </c>
      <c r="D4" s="5" t="inlineStr">
        <is>
          <t>Odds ratio (95% CI)</t>
        </is>
      </c>
      <c r="E4" s="5" t="inlineStr">
        <is>
          <t>p-value</t>
        </is>
      </c>
    </row>
    <row r="5">
      <c r="A5" s="6" t="inlineStr">
        <is>
          <t>Wound number for this patient</t>
        </is>
      </c>
      <c r="B5" s="24" t="inlineStr">
        <is>
          <t>Wound_Number</t>
        </is>
      </c>
      <c r="C5" s="25" t="n">
        <v>-0.565857146005</v>
      </c>
      <c r="D5" s="26" t="inlineStr">
        <is>
          <t>0.57 (0.49-0.66)</t>
        </is>
      </c>
      <c r="E5" s="26" t="inlineStr">
        <is>
          <t>&lt;0.001</t>
        </is>
      </c>
    </row>
    <row r="6">
      <c r="A6" s="6" t="inlineStr">
        <is>
          <t>Total wounds this patient has</t>
        </is>
      </c>
      <c r="B6" s="24" t="inlineStr">
        <is>
          <t>Total_Wounds_Patient</t>
        </is>
      </c>
      <c r="C6" s="25" t="n">
        <v>0.505325944016</v>
      </c>
      <c r="D6" s="26" t="inlineStr">
        <is>
          <t>1.66 (1.44-1.91)</t>
        </is>
      </c>
      <c r="E6" s="26" t="inlineStr">
        <is>
          <t>&lt;0.001</t>
        </is>
      </c>
    </row>
    <row r="7">
      <c r="A7" s="6" t="inlineStr">
        <is>
          <t>WIfI wound score (W)</t>
        </is>
      </c>
      <c r="B7" s="24" t="inlineStr">
        <is>
          <t>W_Score</t>
        </is>
      </c>
      <c r="C7" s="25" t="n">
        <v>-0.542333303148</v>
      </c>
      <c r="D7" s="26" t="inlineStr">
        <is>
          <t>0.58 (0.43-0.78)</t>
        </is>
      </c>
      <c r="E7" s="26" t="inlineStr">
        <is>
          <t>0.0004</t>
        </is>
      </c>
    </row>
    <row r="8">
      <c r="A8" s="6" t="inlineStr">
        <is>
          <t>Toe location</t>
        </is>
      </c>
      <c r="B8" s="24" t="inlineStr">
        <is>
          <t>Loc_Toe</t>
        </is>
      </c>
      <c r="C8" s="25" t="n">
        <v>0.68549949166</v>
      </c>
      <c r="D8" s="26" t="inlineStr">
        <is>
          <t>1.98 (1.28-3.08)</t>
        </is>
      </c>
      <c r="E8" s="26" t="inlineStr">
        <is>
          <t>0.0022</t>
        </is>
      </c>
    </row>
    <row r="9">
      <c r="A9" s="6" t="inlineStr">
        <is>
          <t>Wound depth (cm)</t>
        </is>
      </c>
      <c r="B9" s="24" t="inlineStr">
        <is>
          <t>Wound_Depth</t>
        </is>
      </c>
      <c r="C9" s="25" t="n">
        <v>0.523755741515</v>
      </c>
      <c r="D9" s="26" t="inlineStr">
        <is>
          <t>1.69 (1.26-2.27)</t>
        </is>
      </c>
      <c r="E9" s="26" t="inlineStr">
        <is>
          <t>0.0005</t>
        </is>
      </c>
    </row>
    <row r="10">
      <c r="A10" s="6" t="inlineStr">
        <is>
          <t>University of Texas stage</t>
        </is>
      </c>
      <c r="B10" s="24" t="inlineStr">
        <is>
          <t>UT_Stage</t>
        </is>
      </c>
      <c r="C10" s="25" t="n">
        <v>-0.315045134352</v>
      </c>
      <c r="D10" s="26" t="inlineStr">
        <is>
          <t>0.73 (0.58-0.92)</t>
        </is>
      </c>
      <c r="E10" s="26" t="inlineStr">
        <is>
          <t>0.0083</t>
        </is>
      </c>
    </row>
    <row r="11">
      <c r="A11" s="6" t="inlineStr">
        <is>
          <t>Aspirin</t>
        </is>
      </c>
      <c r="B11" s="24" t="inlineStr">
        <is>
          <t>Aspirin</t>
        </is>
      </c>
      <c r="C11" s="25" t="n">
        <v>0.4109670466</v>
      </c>
      <c r="D11" s="26" t="inlineStr">
        <is>
          <t>1.51 (1.05-2.17)</t>
        </is>
      </c>
      <c r="E11" s="26" t="inlineStr">
        <is>
          <t>0.0273</t>
        </is>
      </c>
    </row>
    <row r="12">
      <c r="A12" s="27" t="inlineStr">
        <is>
          <t>Model intercept</t>
        </is>
      </c>
      <c r="B12" s="28" t="inlineStr">
        <is>
          <t>(intercept)</t>
        </is>
      </c>
      <c r="C12" s="29" t="n">
        <v>1.604872774991</v>
      </c>
    </row>
    <row r="13"/>
    <row r="14">
      <c r="A14" s="6" t="inlineStr">
        <is>
          <t>Platt recalibration intercept (b0)</t>
        </is>
      </c>
      <c r="C14" s="25" t="n">
        <v>0.116206301634</v>
      </c>
    </row>
    <row r="15">
      <c r="A15" s="6" t="inlineStr">
        <is>
          <t>Platt recalibration slope (b1)</t>
        </is>
      </c>
      <c r="C15" s="25" t="n">
        <v>0.899691834507</v>
      </c>
    </row>
    <row r="16"/>
    <row r="17">
      <c r="A17" s="6" t="inlineStr">
        <is>
          <t>Classification threshold (Youden)</t>
        </is>
      </c>
      <c r="C17" s="30" t="n">
        <v>0.71</v>
      </c>
      <c r="D17" s="3" t="inlineStr">
        <is>
          <t>Youden-optimal on the held-out set (0.710948)</t>
        </is>
      </c>
    </row>
    <row r="18"/>
    <row r="19">
      <c r="A19" s="31" t="inlineStr">
        <is>
          <t>Held-out test-set performance (n = 351 wounds)</t>
        </is>
      </c>
    </row>
    <row r="20">
      <c r="A20" s="17" t="inlineStr">
        <is>
          <t>Test AUC</t>
        </is>
      </c>
      <c r="B20" s="32" t="inlineStr">
        <is>
          <t>0.684 (95% CI 0.61-0.76)</t>
        </is>
      </c>
    </row>
    <row r="21">
      <c r="A21" s="17" t="inlineStr">
        <is>
          <t>Cross-validated AUC (5-fold, patient-clustered)</t>
        </is>
      </c>
      <c r="B21" s="32" t="inlineStr">
        <is>
          <t>0.75 (SD 0.05)</t>
        </is>
      </c>
    </row>
    <row r="22">
      <c r="A22" s="17" t="inlineStr">
        <is>
          <t>Delta AUC vs. WIfI stage alone</t>
        </is>
      </c>
      <c r="B22" s="32" t="inlineStr">
        <is>
          <t>0.121 (95% CI 0.030-0.207), p=0.004</t>
        </is>
      </c>
    </row>
    <row r="23">
      <c r="A23" s="17" t="inlineStr">
        <is>
          <t>Sensitivity</t>
        </is>
      </c>
      <c r="B23" s="32" t="inlineStr">
        <is>
          <t>0.813</t>
        </is>
      </c>
    </row>
    <row r="24">
      <c r="A24" s="17" t="inlineStr">
        <is>
          <t>Specificity</t>
        </is>
      </c>
      <c r="B24" s="32" t="inlineStr">
        <is>
          <t>0.507</t>
        </is>
      </c>
    </row>
    <row r="25">
      <c r="A25" s="17" t="inlineStr">
        <is>
          <t>Positive predictive value</t>
        </is>
      </c>
      <c r="B25" s="32" t="inlineStr">
        <is>
          <t>0.875</t>
        </is>
      </c>
    </row>
    <row r="26">
      <c r="A26" s="17" t="inlineStr">
        <is>
          <t>Negative predictive value</t>
        </is>
      </c>
      <c r="B26" s="32" t="inlineStr">
        <is>
          <t>0.391</t>
        </is>
      </c>
    </row>
    <row r="27">
      <c r="A27" s="17" t="inlineStr">
        <is>
          <t>F1</t>
        </is>
      </c>
      <c r="B27" s="32" t="inlineStr">
        <is>
          <t>0.843</t>
        </is>
      </c>
    </row>
    <row r="28">
      <c r="A28" s="17" t="inlineStr">
        <is>
          <t>Brier score</t>
        </is>
      </c>
      <c r="B28" s="32" t="inlineStr">
        <is>
          <t>0.144</t>
        </is>
      </c>
    </row>
    <row r="29">
      <c r="A29" s="17" t="inlineStr">
        <is>
          <t>Calibration slope</t>
        </is>
      </c>
      <c r="B29" s="32" t="inlineStr">
        <is>
          <t>0.722 (1.0 is ideal)</t>
        </is>
      </c>
    </row>
    <row r="30">
      <c r="A30" s="17" t="inlineStr">
        <is>
          <t>Hosmer-Lemeshow p</t>
        </is>
      </c>
      <c r="B30" s="32" t="inlineStr">
        <is>
          <t>0.099 (non-significant, so calibration is adequate)</t>
        </is>
      </c>
    </row>
    <row r="31">
      <c r="A31" s="17" t="inlineStr">
        <is>
          <t>Confusion matrix at threshold</t>
        </is>
      </c>
      <c r="B31" s="32" t="inlineStr">
        <is>
          <t>TP 231, TN 34, FP 33, FN 53</t>
        </is>
      </c>
    </row>
    <row r="32"/>
    <row r="33">
      <c r="A33" s="31" t="inlineStr">
        <is>
          <t>Notes</t>
        </is>
      </c>
    </row>
    <row r="34" ht="26" customHeight="1">
      <c r="A34" s="33" t="inlineStr">
        <is>
          <t>- Odds ratios are on the native scale: per 1 unit for counts, scores and depth (cm), and presence vs. absence for toe location and aspirin.</t>
        </is>
      </c>
    </row>
    <row r="35" ht="26" customHeight="1">
      <c r="A35" s="33" t="inlineStr">
        <is>
          <t>- All seven predictors were significant at p&lt;0.05 in the unpenalized logistic regression.</t>
        </is>
      </c>
    </row>
    <row r="36" ht="26" customHeight="1">
      <c r="A36" s="33" t="inlineStr">
        <is>
          <t>- Selection: 66 candidate features, LASSO bootstrap stability (200 patient-level resamples), top 12 by inclusion frequency, then unpenalized logistic regression keeping p&lt;0.05.</t>
        </is>
      </c>
    </row>
    <row r="37" ht="26" customHeight="1">
      <c r="A37" s="33" t="inlineStr">
        <is>
          <t>- Probabilities are Platt-recalibrated using out-of-fold predictions from the training set only, so no test-set information leaks into the calibration.</t>
        </is>
      </c>
    </row>
    <row r="38" ht="26" customHeight="1">
      <c r="A38" s="33" t="inlineStr">
        <is>
          <t>- Wound number and total wounds are strongly correlated and pull in opposite directions. Enter both as recorded; interpreting either coefficient on its own is misleading.</t>
        </is>
      </c>
    </row>
    <row r="39" ht="26" customHeight="1">
      <c r="A39" s="33" t="inlineStr">
        <is>
          <t>- Source: DFWC_HP_finalModel_7f.mat, locked 14 Jul 2026. Coefficients carried at 12 decimal places; this sheet reproduces MATLAB to within 5e-16 on all 351 held-out wounds.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20">
    <mergeCell ref="A39:E39"/>
    <mergeCell ref="A34:E34"/>
    <mergeCell ref="B23:D23"/>
    <mergeCell ref="A1:E1"/>
    <mergeCell ref="A36:E36"/>
    <mergeCell ref="B29:D29"/>
    <mergeCell ref="B28:D28"/>
    <mergeCell ref="A37:E37"/>
    <mergeCell ref="B30:D30"/>
    <mergeCell ref="B24:D24"/>
    <mergeCell ref="B20:D20"/>
    <mergeCell ref="A2:E2"/>
    <mergeCell ref="B26:D26"/>
    <mergeCell ref="B25:D25"/>
    <mergeCell ref="A35:E35"/>
    <mergeCell ref="A38:E38"/>
    <mergeCell ref="B31:D31"/>
    <mergeCell ref="B22:D22"/>
    <mergeCell ref="B27:D27"/>
    <mergeCell ref="B21:D21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4" customWidth="1" min="9" max="9"/>
    <col width="14" customWidth="1" min="10" max="10"/>
    <col width="10" customWidth="1" min="11" max="11"/>
  </cols>
  <sheetData>
    <row r="1">
      <c r="A1" s="22" t="inlineStr">
        <is>
          <t>Self-check: ten held-out wounds recomputed by this workbook</t>
        </is>
      </c>
    </row>
    <row r="2">
      <c r="A2" s="34" t="inlineStr">
        <is>
          <t>Column J recomputes the probability using the same coefficients the Calculator sheet uses. Column K compares it with the value MATLAB produced for the same wound.</t>
        </is>
      </c>
    </row>
    <row r="3"/>
    <row r="4" ht="30" customHeight="1">
      <c r="A4" s="35" t="inlineStr">
        <is>
          <t>#</t>
        </is>
      </c>
      <c r="B4" s="35" t="inlineStr">
        <is>
          <t>Wound no.</t>
        </is>
      </c>
      <c r="C4" s="35" t="inlineStr">
        <is>
          <t>Total wounds</t>
        </is>
      </c>
      <c r="D4" s="35" t="inlineStr">
        <is>
          <t>W</t>
        </is>
      </c>
      <c r="E4" s="35" t="inlineStr">
        <is>
          <t>Toe</t>
        </is>
      </c>
      <c r="F4" s="35" t="inlineStr">
        <is>
          <t>Depth</t>
        </is>
      </c>
      <c r="G4" s="35" t="inlineStr">
        <is>
          <t>UT</t>
        </is>
      </c>
      <c r="H4" s="35" t="inlineStr">
        <is>
          <t>Aspirin</t>
        </is>
      </c>
      <c r="I4" s="35" t="inlineStr">
        <is>
          <t>MATLAB probability</t>
        </is>
      </c>
      <c r="J4" s="35" t="inlineStr">
        <is>
          <t>This workbook</t>
        </is>
      </c>
      <c r="K4" s="35" t="inlineStr">
        <is>
          <t>Check</t>
        </is>
      </c>
    </row>
    <row r="5">
      <c r="A5" s="26" t="n">
        <v>1</v>
      </c>
      <c r="B5" s="26" t="n">
        <v>8</v>
      </c>
      <c r="C5" s="26" t="n">
        <v>8</v>
      </c>
      <c r="D5" s="26" t="n">
        <v>3</v>
      </c>
      <c r="E5" s="26" t="n">
        <v>0</v>
      </c>
      <c r="F5" s="26" t="n">
        <v>0.1</v>
      </c>
      <c r="G5" s="26" t="n">
        <v>3</v>
      </c>
      <c r="H5" s="26" t="n">
        <v>0</v>
      </c>
      <c r="I5" s="36" t="n">
        <v>0.241845984814</v>
      </c>
      <c r="J5" s="36">
        <f>1/(1+EXP(-(Model!$C$14+Model!$C$15*(Model!$C$5*B5+Model!$C$6*C5+Model!$C$7*D5+Model!$C$8*E5+Model!$C$9*F5+Model!$C$10*G5+Model!$C$11*H5+Model!$C$12))))</f>
        <v/>
      </c>
      <c r="K5" s="37">
        <f>IF(ABS(J5-I5)&lt;0.0000005,"PASS","FAIL")</f>
        <v/>
      </c>
    </row>
    <row r="6">
      <c r="A6" s="26" t="n">
        <v>2</v>
      </c>
      <c r="B6" s="26" t="n">
        <v>3</v>
      </c>
      <c r="C6" s="26" t="n">
        <v>4</v>
      </c>
      <c r="D6" s="26" t="n">
        <v>2</v>
      </c>
      <c r="E6" s="26" t="n">
        <v>1</v>
      </c>
      <c r="F6" s="26" t="n">
        <v>0.1</v>
      </c>
      <c r="G6" s="26" t="n">
        <v>4</v>
      </c>
      <c r="H6" s="26" t="n">
        <v>0</v>
      </c>
      <c r="I6" s="36" t="n">
        <v>0.600026833849</v>
      </c>
      <c r="J6" s="36">
        <f>1/(1+EXP(-(Model!$C$14+Model!$C$15*(Model!$C$5*B6+Model!$C$6*C6+Model!$C$7*D6+Model!$C$8*E6+Model!$C$9*F6+Model!$C$10*G6+Model!$C$11*H6+Model!$C$12))))</f>
        <v/>
      </c>
      <c r="K6" s="37">
        <f>IF(ABS(J6-I6)&lt;0.0000005,"PASS","FAIL")</f>
        <v/>
      </c>
    </row>
    <row r="7">
      <c r="A7" s="26" t="n">
        <v>3</v>
      </c>
      <c r="B7" s="26" t="n">
        <v>1</v>
      </c>
      <c r="C7" s="26" t="n">
        <v>3</v>
      </c>
      <c r="D7" s="26" t="n">
        <v>2</v>
      </c>
      <c r="E7" s="26" t="n">
        <v>0</v>
      </c>
      <c r="F7" s="26" t="n">
        <v>0.5</v>
      </c>
      <c r="G7" s="26" t="n">
        <v>3</v>
      </c>
      <c r="H7" s="26" t="n">
        <v>0</v>
      </c>
      <c r="I7" s="36" t="n">
        <v>0.695153888009</v>
      </c>
      <c r="J7" s="36">
        <f>1/(1+EXP(-(Model!$C$14+Model!$C$15*(Model!$C$5*B7+Model!$C$6*C7+Model!$C$7*D7+Model!$C$8*E7+Model!$C$9*F7+Model!$C$10*G7+Model!$C$11*H7+Model!$C$12))))</f>
        <v/>
      </c>
      <c r="K7" s="37">
        <f>IF(ABS(J7-I7)&lt;0.0000005,"PASS","FAIL")</f>
        <v/>
      </c>
    </row>
    <row r="8">
      <c r="A8" s="26" t="n">
        <v>4</v>
      </c>
      <c r="B8" s="26" t="n">
        <v>1</v>
      </c>
      <c r="C8" s="26" t="n">
        <v>1</v>
      </c>
      <c r="D8" s="26" t="n">
        <v>2</v>
      </c>
      <c r="E8" s="26" t="n">
        <v>1</v>
      </c>
      <c r="F8" s="26" t="n">
        <v>1</v>
      </c>
      <c r="G8" s="26" t="n">
        <v>3</v>
      </c>
      <c r="H8" s="26" t="n">
        <v>1</v>
      </c>
      <c r="I8" s="36" t="n">
        <v>0.757154569358</v>
      </c>
      <c r="J8" s="36">
        <f>1/(1+EXP(-(Model!$C$14+Model!$C$15*(Model!$C$5*B8+Model!$C$6*C8+Model!$C$7*D8+Model!$C$8*E8+Model!$C$9*F8+Model!$C$10*G8+Model!$C$11*H8+Model!$C$12))))</f>
        <v/>
      </c>
      <c r="K8" s="37">
        <f>IF(ABS(J8-I8)&lt;0.0000005,"PASS","FAIL")</f>
        <v/>
      </c>
    </row>
    <row r="9">
      <c r="A9" s="26" t="n">
        <v>5</v>
      </c>
      <c r="B9" s="26" t="n">
        <v>2</v>
      </c>
      <c r="C9" s="26" t="n">
        <v>2</v>
      </c>
      <c r="D9" s="26" t="n">
        <v>1</v>
      </c>
      <c r="E9" s="26" t="n">
        <v>1</v>
      </c>
      <c r="F9" s="26" t="n">
        <v>0.2</v>
      </c>
      <c r="G9" s="26" t="n">
        <v>1</v>
      </c>
      <c r="H9" s="26" t="n">
        <v>0</v>
      </c>
      <c r="I9" s="36" t="n">
        <v>0.800717381983</v>
      </c>
      <c r="J9" s="36">
        <f>1/(1+EXP(-(Model!$C$14+Model!$C$15*(Model!$C$5*B9+Model!$C$6*C9+Model!$C$7*D9+Model!$C$8*E9+Model!$C$9*F9+Model!$C$10*G9+Model!$C$11*H9+Model!$C$12))))</f>
        <v/>
      </c>
      <c r="K9" s="37">
        <f>IF(ABS(J9-I9)&lt;0.0000005,"PASS","FAIL")</f>
        <v/>
      </c>
    </row>
    <row r="10">
      <c r="A10" s="26" t="n">
        <v>6</v>
      </c>
      <c r="B10" s="26" t="n">
        <v>3</v>
      </c>
      <c r="C10" s="26" t="n">
        <v>3</v>
      </c>
      <c r="D10" s="26" t="n">
        <v>1</v>
      </c>
      <c r="E10" s="26" t="n">
        <v>1</v>
      </c>
      <c r="F10" s="26" t="n">
        <v>0.1</v>
      </c>
      <c r="G10" s="26" t="n">
        <v>1</v>
      </c>
      <c r="H10" s="26" t="n">
        <v>1</v>
      </c>
      <c r="I10" s="36" t="n">
        <v>0.840096524004</v>
      </c>
      <c r="J10" s="36">
        <f>1/(1+EXP(-(Model!$C$14+Model!$C$15*(Model!$C$5*B10+Model!$C$6*C10+Model!$C$7*D10+Model!$C$8*E10+Model!$C$9*F10+Model!$C$10*G10+Model!$C$11*H10+Model!$C$12))))</f>
        <v/>
      </c>
      <c r="K10" s="37">
        <f>IF(ABS(J10-I10)&lt;0.0000005,"PASS","FAIL")</f>
        <v/>
      </c>
    </row>
    <row r="11">
      <c r="A11" s="26" t="n">
        <v>7</v>
      </c>
      <c r="B11" s="26" t="n">
        <v>4</v>
      </c>
      <c r="C11" s="26" t="n">
        <v>6</v>
      </c>
      <c r="D11" s="26" t="n">
        <v>1</v>
      </c>
      <c r="E11" s="26" t="n">
        <v>0</v>
      </c>
      <c r="F11" s="26" t="n">
        <v>0.1</v>
      </c>
      <c r="G11" s="26" t="n">
        <v>1</v>
      </c>
      <c r="H11" s="26" t="n">
        <v>1</v>
      </c>
      <c r="I11" s="36" t="n">
        <v>0.869554326215</v>
      </c>
      <c r="J11" s="36">
        <f>1/(1+EXP(-(Model!$C$14+Model!$C$15*(Model!$C$5*B11+Model!$C$6*C11+Model!$C$7*D11+Model!$C$8*E11+Model!$C$9*F11+Model!$C$10*G11+Model!$C$11*H11+Model!$C$12))))</f>
        <v/>
      </c>
      <c r="K11" s="37">
        <f>IF(ABS(J11-I11)&lt;0.0000005,"PASS","FAIL")</f>
        <v/>
      </c>
    </row>
    <row r="12">
      <c r="A12" s="26" t="n">
        <v>8</v>
      </c>
      <c r="B12" s="26" t="n">
        <v>1</v>
      </c>
      <c r="C12" s="26" t="n">
        <v>3</v>
      </c>
      <c r="D12" s="26" t="n">
        <v>1</v>
      </c>
      <c r="E12" s="26" t="n">
        <v>1</v>
      </c>
      <c r="F12" s="26" t="n">
        <v>0.5</v>
      </c>
      <c r="G12" s="26" t="n">
        <v>2</v>
      </c>
      <c r="H12" s="26" t="n">
        <v>0</v>
      </c>
      <c r="I12" s="36" t="n">
        <v>0.9013611508229999</v>
      </c>
      <c r="J12" s="36">
        <f>1/(1+EXP(-(Model!$C$14+Model!$C$15*(Model!$C$5*B12+Model!$C$6*C12+Model!$C$7*D12+Model!$C$8*E12+Model!$C$9*F12+Model!$C$10*G12+Model!$C$11*H12+Model!$C$12))))</f>
        <v/>
      </c>
      <c r="K12" s="37">
        <f>IF(ABS(J12-I12)&lt;0.0000005,"PASS","FAIL")</f>
        <v/>
      </c>
    </row>
    <row r="13">
      <c r="A13" s="26" t="n">
        <v>9</v>
      </c>
      <c r="B13" s="26" t="n">
        <v>1</v>
      </c>
      <c r="C13" s="26" t="n">
        <v>5</v>
      </c>
      <c r="D13" s="26" t="n">
        <v>1</v>
      </c>
      <c r="E13" s="26" t="n">
        <v>1</v>
      </c>
      <c r="F13" s="26" t="n">
        <v>1</v>
      </c>
      <c r="G13" s="26" t="n">
        <v>3</v>
      </c>
      <c r="H13" s="26" t="n">
        <v>0</v>
      </c>
      <c r="I13" s="36" t="n">
        <v>0.955802451066</v>
      </c>
      <c r="J13" s="36">
        <f>1/(1+EXP(-(Model!$C$14+Model!$C$15*(Model!$C$5*B13+Model!$C$6*C13+Model!$C$7*D13+Model!$C$8*E13+Model!$C$9*F13+Model!$C$10*G13+Model!$C$11*H13+Model!$C$12))))</f>
        <v/>
      </c>
      <c r="K13" s="37">
        <f>IF(ABS(J13-I13)&lt;0.0000005,"PASS","FAIL")</f>
        <v/>
      </c>
    </row>
    <row r="14">
      <c r="A14" s="26" t="n">
        <v>10</v>
      </c>
      <c r="B14" s="26" t="n">
        <v>1</v>
      </c>
      <c r="C14" s="26" t="n">
        <v>21</v>
      </c>
      <c r="D14" s="26" t="n">
        <v>1</v>
      </c>
      <c r="E14" s="26" t="n">
        <v>1</v>
      </c>
      <c r="F14" s="26" t="n">
        <v>0</v>
      </c>
      <c r="G14" s="26" t="n">
        <v>1</v>
      </c>
      <c r="H14" s="26" t="n">
        <v>0</v>
      </c>
      <c r="I14" s="36" t="n">
        <v>0.999970871147</v>
      </c>
      <c r="J14" s="36">
        <f>1/(1+EXP(-(Model!$C$14+Model!$C$15*(Model!$C$5*B14+Model!$C$6*C14+Model!$C$7*D14+Model!$C$8*E14+Model!$C$9*F14+Model!$C$10*G14+Model!$C$11*H14+Model!$C$12))))</f>
        <v/>
      </c>
      <c r="K14" s="37">
        <f>IF(ABS(J14-I14)&lt;0.0000005,"PASS","FAIL")</f>
        <v/>
      </c>
    </row>
    <row r="15"/>
    <row r="16">
      <c r="H16" s="38" t="inlineStr">
        <is>
          <t>Overall</t>
        </is>
      </c>
      <c r="K16" s="39">
        <f>IF(COUNTIF(K5:K14,"PASS")=10,"ALL PASS","SOME FAIL")</f>
        <v/>
      </c>
    </row>
    <row r="17"/>
    <row r="18" ht="30" customHeight="1">
      <c r="A18" s="21" t="inlineStr">
        <is>
          <t>These ten wounds were drawn from the 351-wound held-out test set at evenly spaced points across the predicted-risk range. The MATLAB column comes from DFWC_HP_verifyCalculator.m, which confirmed agreement to within 5e-16 across all 351 wounds.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3">
    <mergeCell ref="A2:K2"/>
    <mergeCell ref="A1:K1"/>
    <mergeCell ref="A18:K18"/>
  </mergeCells>
  <conditionalFormatting sqref="K5">
    <cfRule type="cellIs" priority="1" operator="equal" dxfId="2">
      <formula>"PASS"</formula>
    </cfRule>
    <cfRule type="cellIs" priority="2" operator="equal" dxfId="4">
      <formula>"FAIL"</formula>
    </cfRule>
  </conditionalFormatting>
  <conditionalFormatting sqref="K6">
    <cfRule type="cellIs" priority="3" operator="equal" dxfId="2">
      <formula>"PASS"</formula>
    </cfRule>
    <cfRule type="cellIs" priority="4" operator="equal" dxfId="4">
      <formula>"FAIL"</formula>
    </cfRule>
  </conditionalFormatting>
  <conditionalFormatting sqref="K7">
    <cfRule type="cellIs" priority="5" operator="equal" dxfId="2">
      <formula>"PASS"</formula>
    </cfRule>
    <cfRule type="cellIs" priority="6" operator="equal" dxfId="4">
      <formula>"FAIL"</formula>
    </cfRule>
  </conditionalFormatting>
  <conditionalFormatting sqref="K8">
    <cfRule type="cellIs" priority="7" operator="equal" dxfId="2">
      <formula>"PASS"</formula>
    </cfRule>
    <cfRule type="cellIs" priority="8" operator="equal" dxfId="4">
      <formula>"FAIL"</formula>
    </cfRule>
  </conditionalFormatting>
  <conditionalFormatting sqref="K9">
    <cfRule type="cellIs" priority="9" operator="equal" dxfId="2">
      <formula>"PASS"</formula>
    </cfRule>
    <cfRule type="cellIs" priority="10" operator="equal" dxfId="4">
      <formula>"FAIL"</formula>
    </cfRule>
  </conditionalFormatting>
  <conditionalFormatting sqref="K10">
    <cfRule type="cellIs" priority="11" operator="equal" dxfId="2">
      <formula>"PASS"</formula>
    </cfRule>
    <cfRule type="cellIs" priority="12" operator="equal" dxfId="4">
      <formula>"FAIL"</formula>
    </cfRule>
  </conditionalFormatting>
  <conditionalFormatting sqref="K11">
    <cfRule type="cellIs" priority="13" operator="equal" dxfId="2">
      <formula>"PASS"</formula>
    </cfRule>
    <cfRule type="cellIs" priority="14" operator="equal" dxfId="4">
      <formula>"FAIL"</formula>
    </cfRule>
  </conditionalFormatting>
  <conditionalFormatting sqref="K12">
    <cfRule type="cellIs" priority="15" operator="equal" dxfId="2">
      <formula>"PASS"</formula>
    </cfRule>
    <cfRule type="cellIs" priority="16" operator="equal" dxfId="4">
      <formula>"FAIL"</formula>
    </cfRule>
  </conditionalFormatting>
  <conditionalFormatting sqref="K13">
    <cfRule type="cellIs" priority="17" operator="equal" dxfId="2">
      <formula>"PASS"</formula>
    </cfRule>
    <cfRule type="cellIs" priority="18" operator="equal" dxfId="4">
      <formula>"FAIL"</formula>
    </cfRule>
  </conditionalFormatting>
  <conditionalFormatting sqref="K14">
    <cfRule type="cellIs" priority="19" operator="equal" dxfId="2">
      <formula>"PASS"</formula>
    </cfRule>
    <cfRule type="cellIs" priority="20" operator="equal" dxfId="4">
      <formula>"FAIL"</formula>
    </cfRule>
  </conditionalFormatting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2026-07-25T19:06:52Z</dcterms:created>
  <dcterms:modified xmlns:dcterms="http://purl.org/dc/terms/" xmlns:xsi="http://www.w3.org/2001/XMLSchema-instance" xsi:type="dcterms:W3CDTF">2026-07-25T19:06:53Z</dcterms:modified>
</cp:coreProperties>
</file>